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esktop\Project\"/>
    </mc:Choice>
  </mc:AlternateContent>
  <xr:revisionPtr revIDLastSave="0" documentId="8_{D30F5C04-06C9-45D1-9450-AA9EF4EAF285}" xr6:coauthVersionLast="47" xr6:coauthVersionMax="47" xr10:uidLastSave="{00000000-0000-0000-0000-000000000000}"/>
  <bookViews>
    <workbookView xWindow="-120" yWindow="-120" windowWidth="29040" windowHeight="15720" xr2:uid="{3374891E-9201-4CC0-90EF-4A8D580A4E6A}"/>
  </bookViews>
  <sheets>
    <sheet name="Student Result Analysi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" i="3" l="1"/>
  <c r="L8" i="3"/>
  <c r="L9" i="3"/>
  <c r="L10" i="3"/>
  <c r="L11" i="3"/>
  <c r="L12" i="3"/>
  <c r="L13" i="3"/>
  <c r="L14" i="3"/>
  <c r="L15" i="3"/>
  <c r="L16" i="3"/>
  <c r="L17" i="3"/>
  <c r="L18" i="3"/>
  <c r="L20" i="3"/>
  <c r="L21" i="3"/>
  <c r="L22" i="3"/>
  <c r="L23" i="3"/>
  <c r="L24" i="3"/>
  <c r="L25" i="3"/>
  <c r="L6" i="3"/>
  <c r="K8" i="3"/>
  <c r="K9" i="3"/>
  <c r="K10" i="3"/>
  <c r="K11" i="3"/>
  <c r="K12" i="3"/>
  <c r="K13" i="3"/>
  <c r="K14" i="3"/>
  <c r="K15" i="3"/>
  <c r="K16" i="3"/>
  <c r="K17" i="3"/>
  <c r="K18" i="3"/>
  <c r="K20" i="3"/>
  <c r="K21" i="3"/>
  <c r="K22" i="3"/>
  <c r="K23" i="3"/>
  <c r="K24" i="3"/>
  <c r="K25" i="3"/>
  <c r="K6" i="3"/>
  <c r="K7" i="3"/>
  <c r="J7" i="3"/>
  <c r="J8" i="3"/>
  <c r="J9" i="3"/>
  <c r="J10" i="3"/>
  <c r="J11" i="3"/>
  <c r="J12" i="3"/>
  <c r="J13" i="3"/>
  <c r="J14" i="3"/>
  <c r="J15" i="3"/>
  <c r="J16" i="3"/>
  <c r="J17" i="3"/>
  <c r="J18" i="3"/>
  <c r="J20" i="3"/>
  <c r="J21" i="3"/>
  <c r="J22" i="3"/>
  <c r="J23" i="3"/>
  <c r="J24" i="3"/>
  <c r="J25" i="3"/>
  <c r="J6" i="3"/>
  <c r="Q11" i="3"/>
  <c r="Q10" i="3"/>
  <c r="I12" i="3"/>
  <c r="Q7" i="3"/>
  <c r="I7" i="3"/>
  <c r="I8" i="3"/>
  <c r="I9" i="3"/>
  <c r="I10" i="3"/>
  <c r="I11" i="3"/>
  <c r="I13" i="3"/>
  <c r="I14" i="3"/>
  <c r="I15" i="3"/>
  <c r="I16" i="3"/>
  <c r="I17" i="3"/>
  <c r="I18" i="3"/>
  <c r="I19" i="3"/>
  <c r="N15" i="3" s="1"/>
  <c r="I20" i="3"/>
  <c r="I21" i="3"/>
  <c r="I22" i="3"/>
  <c r="I23" i="3"/>
  <c r="I24" i="3"/>
  <c r="I25" i="3"/>
  <c r="I6" i="3"/>
  <c r="J19" i="3" l="1"/>
  <c r="Q5" i="3"/>
  <c r="Q4" i="3"/>
  <c r="Q6" i="3" l="1"/>
  <c r="L19" i="3"/>
  <c r="N16" i="3"/>
  <c r="K19" i="3"/>
  <c r="Q8" i="3" l="1"/>
  <c r="Q12" i="3" s="1"/>
  <c r="Q9" i="3"/>
</calcChain>
</file>

<file path=xl/sharedStrings.xml><?xml version="1.0" encoding="utf-8"?>
<sst xmlns="http://schemas.openxmlformats.org/spreadsheetml/2006/main" count="47" uniqueCount="46">
  <si>
    <t xml:space="preserve">  </t>
  </si>
  <si>
    <t>Name</t>
  </si>
  <si>
    <t>Math</t>
  </si>
  <si>
    <t>Science</t>
  </si>
  <si>
    <t>English</t>
  </si>
  <si>
    <t>Hindi</t>
  </si>
  <si>
    <t>Result</t>
  </si>
  <si>
    <t>Highest Marks</t>
  </si>
  <si>
    <t>Lowest Marks</t>
  </si>
  <si>
    <t>Average Percentage</t>
  </si>
  <si>
    <t>CONCLUSION</t>
  </si>
  <si>
    <t>TOPPER</t>
  </si>
  <si>
    <t>WORKING TOGETHER, ACHIEVING TOGETHER</t>
  </si>
  <si>
    <t>Niraj</t>
  </si>
  <si>
    <t>STUDENT RESULT ANALYSIS</t>
  </si>
  <si>
    <t>STUDENT MARKS DATA</t>
  </si>
  <si>
    <t>S.No.</t>
  </si>
  <si>
    <t>Sst</t>
  </si>
  <si>
    <t>Total (500)</t>
  </si>
  <si>
    <t>Percentage(%)</t>
  </si>
  <si>
    <t>Grade</t>
  </si>
  <si>
    <t>Aarushi</t>
  </si>
  <si>
    <t>Chandan</t>
  </si>
  <si>
    <t>Dilkhush</t>
  </si>
  <si>
    <t>Sajan</t>
  </si>
  <si>
    <t>Randhir</t>
  </si>
  <si>
    <t>Ram</t>
  </si>
  <si>
    <t>Suraj</t>
  </si>
  <si>
    <t>Sneha</t>
  </si>
  <si>
    <t>Viraj</t>
  </si>
  <si>
    <t>Harshit</t>
  </si>
  <si>
    <t>Roshani</t>
  </si>
  <si>
    <t>Pardeep</t>
  </si>
  <si>
    <t>Varun</t>
  </si>
  <si>
    <t>Ranjeet</t>
  </si>
  <si>
    <t>Sandeep</t>
  </si>
  <si>
    <t>Rupa</t>
  </si>
  <si>
    <t>Rani</t>
  </si>
  <si>
    <t>ANALYSIS SUMMARY</t>
  </si>
  <si>
    <t>Total Student</t>
  </si>
  <si>
    <t>Total Passed Student</t>
  </si>
  <si>
    <t>Total Failed Student</t>
  </si>
  <si>
    <t>Highest Marks Subject</t>
  </si>
  <si>
    <t>Lowest Marks Subject</t>
  </si>
  <si>
    <t>Passing Percentage</t>
  </si>
  <si>
    <t>Viru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</si>
</sst>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Sitka Heading Semibold"/>
    </font>
    <font>
      <b/>
      <sz val="11"/>
      <color theme="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8" tint="-0.249977111117893"/>
      <name val="Calibri"/>
      <family val="2"/>
      <scheme val="minor"/>
    </font>
    <font>
      <b/>
      <sz val="18"/>
      <color theme="1"/>
      <name val="Sitka Heading Semibold"/>
    </font>
    <font>
      <b/>
      <sz val="11"/>
      <color theme="9" tint="-0.249977111117893"/>
      <name val="Calibri"/>
      <family val="2"/>
      <scheme val="minor"/>
    </font>
    <font>
      <b/>
      <sz val="28"/>
      <color theme="4" tint="-0.249977111117893"/>
      <name val="Sitka Heading Semibold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/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0" fillId="0" borderId="0" xfId="0"/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11" fillId="8" borderId="21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0" fillId="6" borderId="21" xfId="0" applyFill="1" applyBorder="1" applyAlignment="1">
      <alignment horizontal="center"/>
    </xf>
    <xf numFmtId="0" fontId="0" fillId="6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0" fontId="10" fillId="0" borderId="27" xfId="0" applyFont="1" applyBorder="1" applyAlignment="1">
      <alignment horizontal="center"/>
    </xf>
    <xf numFmtId="0" fontId="7" fillId="4" borderId="24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9" fontId="6" fillId="0" borderId="27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10" borderId="16" xfId="0" applyFill="1" applyBorder="1"/>
    <xf numFmtId="0" fontId="0" fillId="10" borderId="30" xfId="0" applyFill="1" applyBorder="1"/>
    <xf numFmtId="0" fontId="3" fillId="4" borderId="7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0" fillId="0" borderId="16" xfId="0" applyBorder="1"/>
    <xf numFmtId="0" fontId="0" fillId="0" borderId="8" xfId="0" applyBorder="1"/>
    <xf numFmtId="0" fontId="0" fillId="8" borderId="9" xfId="0" applyFill="1" applyBorder="1"/>
    <xf numFmtId="0" fontId="0" fillId="8" borderId="10" xfId="0" applyFill="1" applyBorder="1"/>
    <xf numFmtId="0" fontId="0" fillId="8" borderId="28" xfId="0" applyFill="1" applyBorder="1"/>
    <xf numFmtId="0" fontId="0" fillId="8" borderId="12" xfId="0" applyFill="1" applyBorder="1"/>
    <xf numFmtId="0" fontId="0" fillId="8" borderId="0" xfId="0" applyFill="1"/>
    <xf numFmtId="0" fontId="0" fillId="8" borderId="3" xfId="0" applyFill="1" applyBorder="1"/>
    <xf numFmtId="0" fontId="0" fillId="8" borderId="13" xfId="0" applyFill="1" applyBorder="1"/>
    <xf numFmtId="0" fontId="0" fillId="8" borderId="14" xfId="0" applyFill="1" applyBorder="1"/>
    <xf numFmtId="0" fontId="0" fillId="8" borderId="29" xfId="0" applyFill="1" applyBorder="1"/>
    <xf numFmtId="0" fontId="0" fillId="0" borderId="2" xfId="0" applyBorder="1"/>
    <xf numFmtId="0" fontId="0" fillId="0" borderId="3" xfId="0" applyBorder="1"/>
    <xf numFmtId="0" fontId="0" fillId="9" borderId="2" xfId="0" applyFill="1" applyBorder="1"/>
    <xf numFmtId="0" fontId="0" fillId="9" borderId="0" xfId="0" applyFill="1"/>
    <xf numFmtId="0" fontId="0" fillId="9" borderId="3" xfId="0" applyFill="1" applyBorder="1"/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8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>
                    <a:lumMod val="75000"/>
                  </a:schemeClr>
                </a:solidFill>
              </a:rPr>
              <a:t>STUDENT PERFORMANCE (TOTAL MARKS)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533812344163876E-2"/>
          <c:y val="0.20877659137352012"/>
          <c:w val="0.89019685039370078"/>
          <c:h val="0.629913969087197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'Student Result Analysis'!$I$5</c:f>
              <c:strCache>
                <c:ptCount val="1"/>
                <c:pt idx="0">
                  <c:v>Total (500)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'Student Result Analysis'!$C$6:$C$25</c:f>
              <c:strCache>
                <c:ptCount val="20"/>
                <c:pt idx="0">
                  <c:v>Aarushi</c:v>
                </c:pt>
                <c:pt idx="1">
                  <c:v>Viru</c:v>
                </c:pt>
                <c:pt idx="2">
                  <c:v>Chandan</c:v>
                </c:pt>
                <c:pt idx="3">
                  <c:v>Dilkhush</c:v>
                </c:pt>
                <c:pt idx="4">
                  <c:v>Niraj</c:v>
                </c:pt>
                <c:pt idx="5">
                  <c:v>Sajan</c:v>
                </c:pt>
                <c:pt idx="6">
                  <c:v>Randhir</c:v>
                </c:pt>
                <c:pt idx="7">
                  <c:v>Ram</c:v>
                </c:pt>
                <c:pt idx="8">
                  <c:v>Suraj</c:v>
                </c:pt>
                <c:pt idx="9">
                  <c:v>Sneha</c:v>
                </c:pt>
                <c:pt idx="10">
                  <c:v>Viraj</c:v>
                </c:pt>
                <c:pt idx="11">
                  <c:v>Aarushi</c:v>
                </c:pt>
                <c:pt idx="12">
                  <c:v>Harshit</c:v>
                </c:pt>
                <c:pt idx="13">
                  <c:v>Roshani</c:v>
                </c:pt>
                <c:pt idx="14">
                  <c:v>Pardeep</c:v>
                </c:pt>
                <c:pt idx="15">
                  <c:v>Varun</c:v>
                </c:pt>
                <c:pt idx="16">
                  <c:v>Ranjeet</c:v>
                </c:pt>
                <c:pt idx="17">
                  <c:v>Sandeep</c:v>
                </c:pt>
                <c:pt idx="18">
                  <c:v>Rupa</c:v>
                </c:pt>
                <c:pt idx="19">
                  <c:v>Rani</c:v>
                </c:pt>
              </c:strCache>
            </c:strRef>
          </c:cat>
          <c:val>
            <c:numRef>
              <c:f>'Student Result Analysis'!$I$6:$I$25</c:f>
              <c:numCache>
                <c:formatCode>General</c:formatCode>
                <c:ptCount val="20"/>
                <c:pt idx="0">
                  <c:v>377</c:v>
                </c:pt>
                <c:pt idx="1">
                  <c:v>409</c:v>
                </c:pt>
                <c:pt idx="2">
                  <c:v>370</c:v>
                </c:pt>
                <c:pt idx="3">
                  <c:v>304</c:v>
                </c:pt>
                <c:pt idx="4">
                  <c:v>176</c:v>
                </c:pt>
                <c:pt idx="5">
                  <c:v>392</c:v>
                </c:pt>
                <c:pt idx="6">
                  <c:v>301</c:v>
                </c:pt>
                <c:pt idx="7">
                  <c:v>180</c:v>
                </c:pt>
                <c:pt idx="8">
                  <c:v>197</c:v>
                </c:pt>
                <c:pt idx="9">
                  <c:v>270</c:v>
                </c:pt>
                <c:pt idx="10">
                  <c:v>327</c:v>
                </c:pt>
                <c:pt idx="11">
                  <c:v>307</c:v>
                </c:pt>
                <c:pt idx="12">
                  <c:v>292</c:v>
                </c:pt>
                <c:pt idx="13">
                  <c:v>172</c:v>
                </c:pt>
                <c:pt idx="14">
                  <c:v>321</c:v>
                </c:pt>
                <c:pt idx="15">
                  <c:v>361</c:v>
                </c:pt>
                <c:pt idx="16">
                  <c:v>375</c:v>
                </c:pt>
                <c:pt idx="17">
                  <c:v>366</c:v>
                </c:pt>
                <c:pt idx="18">
                  <c:v>195</c:v>
                </c:pt>
                <c:pt idx="19">
                  <c:v>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BF-4AE7-850B-5FF06D692DB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1056815"/>
        <c:axId val="1711054415"/>
      </c:barChart>
      <c:catAx>
        <c:axId val="1711056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54415"/>
        <c:crosses val="autoZero"/>
        <c:auto val="1"/>
        <c:lblAlgn val="ctr"/>
        <c:lblOffset val="100"/>
        <c:noMultiLvlLbl val="0"/>
      </c:catAx>
      <c:valAx>
        <c:axId val="171105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056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39594</xdr:colOff>
      <xdr:row>0</xdr:row>
      <xdr:rowOff>3362</xdr:rowOff>
    </xdr:from>
    <xdr:to>
      <xdr:col>5</xdr:col>
      <xdr:colOff>503144</xdr:colOff>
      <xdr:row>0</xdr:row>
      <xdr:rowOff>437777</xdr:rowOff>
    </xdr:to>
    <xdr:pic>
      <xdr:nvPicPr>
        <xdr:cNvPr id="2" name="Graphic 1" descr="Graduation cap with solid fill">
          <a:extLst>
            <a:ext uri="{FF2B5EF4-FFF2-40B4-BE49-F238E27FC236}">
              <a16:creationId xmlns:a16="http://schemas.microsoft.com/office/drawing/2014/main" id="{64701A4F-D979-423F-BF2E-C7D5065E1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35144" y="3362"/>
          <a:ext cx="463550" cy="434415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133350</xdr:colOff>
      <xdr:row>0</xdr:row>
      <xdr:rowOff>22411</xdr:rowOff>
    </xdr:from>
    <xdr:to>
      <xdr:col>14</xdr:col>
      <xdr:colOff>596900</xdr:colOff>
      <xdr:row>1</xdr:row>
      <xdr:rowOff>12326</xdr:rowOff>
    </xdr:to>
    <xdr:pic>
      <xdr:nvPicPr>
        <xdr:cNvPr id="3" name="Graphic 2" descr="Graduation cap with solid fill">
          <a:extLst>
            <a:ext uri="{FF2B5EF4-FFF2-40B4-BE49-F238E27FC236}">
              <a16:creationId xmlns:a16="http://schemas.microsoft.com/office/drawing/2014/main" id="{ADD7CCAE-E5C3-426A-B871-FB3D5762C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969250" y="22411"/>
          <a:ext cx="463550" cy="434415"/>
        </a:xfrm>
        <a:prstGeom prst="rect">
          <a:avLst/>
        </a:prstGeom>
      </xdr:spPr>
    </xdr:pic>
    <xdr:clientData/>
  </xdr:twoCellAnchor>
  <xdr:oneCellAnchor>
    <xdr:from>
      <xdr:col>13</xdr:col>
      <xdr:colOff>31750</xdr:colOff>
      <xdr:row>18</xdr:row>
      <xdr:rowOff>18142</xdr:rowOff>
    </xdr:from>
    <xdr:ext cx="2781300" cy="106135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798E133-A25E-4BE2-B5CE-40EFFC191CB9}"/>
            </a:ext>
          </a:extLst>
        </xdr:cNvPr>
        <xdr:cNvSpPr txBox="1"/>
      </xdr:nvSpPr>
      <xdr:spPr>
        <a:xfrm>
          <a:off x="7234464" y="4209142"/>
          <a:ext cx="2781300" cy="10613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100"/>
            <a:t>This</a:t>
          </a:r>
          <a:r>
            <a:rPr lang="en-US" sz="1100" baseline="0"/>
            <a:t> project shows how student results can be analyzed easily using Excel formulas and charts. It helps in understaning performance in a better way.  </a:t>
          </a:r>
          <a:endParaRPr lang="en-US" sz="1100"/>
        </a:p>
      </xdr:txBody>
    </xdr:sp>
    <xdr:clientData/>
  </xdr:oneCellAnchor>
  <xdr:twoCellAnchor editAs="oneCell">
    <xdr:from>
      <xdr:col>16</xdr:col>
      <xdr:colOff>390072</xdr:colOff>
      <xdr:row>20</xdr:row>
      <xdr:rowOff>177800</xdr:rowOff>
    </xdr:from>
    <xdr:to>
      <xdr:col>18</xdr:col>
      <xdr:colOff>463550</xdr:colOff>
      <xdr:row>24</xdr:row>
      <xdr:rowOff>120650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D6ABF60-5891-4CB3-BDA1-1ED7B201D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6143" y="4740729"/>
          <a:ext cx="1289050" cy="704850"/>
        </a:xfrm>
        <a:prstGeom prst="roundRect">
          <a:avLst>
            <a:gd name="adj" fmla="val 16667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twoCellAnchor>
  <xdr:twoCellAnchor>
    <xdr:from>
      <xdr:col>1</xdr:col>
      <xdr:colOff>19243</xdr:colOff>
      <xdr:row>26</xdr:row>
      <xdr:rowOff>2721</xdr:rowOff>
    </xdr:from>
    <xdr:to>
      <xdr:col>18</xdr:col>
      <xdr:colOff>547687</xdr:colOff>
      <xdr:row>33</xdr:row>
      <xdr:rowOff>525960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0E33AA-93CB-384C-99AF-6A8EF4D0C7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408215</xdr:colOff>
      <xdr:row>34</xdr:row>
      <xdr:rowOff>0</xdr:rowOff>
    </xdr:from>
    <xdr:to>
      <xdr:col>6</xdr:col>
      <xdr:colOff>143329</xdr:colOff>
      <xdr:row>34</xdr:row>
      <xdr:rowOff>260350</xdr:rowOff>
    </xdr:to>
    <xdr:pic>
      <xdr:nvPicPr>
        <xdr:cNvPr id="8" name="Graphic 7" descr="Star with solid fill">
          <a:extLst>
            <a:ext uri="{FF2B5EF4-FFF2-40B4-BE49-F238E27FC236}">
              <a16:creationId xmlns:a16="http://schemas.microsoft.com/office/drawing/2014/main" id="{0476070C-C199-432B-BD38-1CBD137FC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93786" y="7502071"/>
          <a:ext cx="342900" cy="260350"/>
        </a:xfrm>
        <a:prstGeom prst="rect">
          <a:avLst/>
        </a:prstGeom>
      </xdr:spPr>
    </xdr:pic>
    <xdr:clientData/>
  </xdr:twoCellAnchor>
  <xdr:twoCellAnchor editAs="oneCell">
    <xdr:from>
      <xdr:col>13</xdr:col>
      <xdr:colOff>480786</xdr:colOff>
      <xdr:row>34</xdr:row>
      <xdr:rowOff>0</xdr:rowOff>
    </xdr:from>
    <xdr:to>
      <xdr:col>14</xdr:col>
      <xdr:colOff>215900</xdr:colOff>
      <xdr:row>34</xdr:row>
      <xdr:rowOff>260350</xdr:rowOff>
    </xdr:to>
    <xdr:pic>
      <xdr:nvPicPr>
        <xdr:cNvPr id="9" name="Graphic 8" descr="Star with solid fill">
          <a:extLst>
            <a:ext uri="{FF2B5EF4-FFF2-40B4-BE49-F238E27FC236}">
              <a16:creationId xmlns:a16="http://schemas.microsoft.com/office/drawing/2014/main" id="{B0203A63-3A32-4F72-87F4-6944F4DDF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7683500" y="7502071"/>
          <a:ext cx="342900" cy="260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F214B-66E9-4ECB-9F26-EB3AA475B913}">
  <dimension ref="A1:T36"/>
  <sheetViews>
    <sheetView tabSelected="1" zoomScale="80" zoomScaleNormal="80" workbookViewId="0">
      <selection activeCell="M3" sqref="M3:M25"/>
    </sheetView>
  </sheetViews>
  <sheetFormatPr defaultRowHeight="15" x14ac:dyDescent="0.25"/>
  <cols>
    <col min="1" max="1" width="0.85546875" customWidth="1"/>
    <col min="2" max="2" width="8.7109375" customWidth="1"/>
    <col min="9" max="9" width="9.85546875" bestFit="1" customWidth="1"/>
    <col min="10" max="10" width="12.85546875" bestFit="1" customWidth="1"/>
    <col min="13" max="13" width="1.28515625" customWidth="1"/>
    <col min="19" max="20" width="8.7109375" customWidth="1"/>
  </cols>
  <sheetData>
    <row r="1" spans="1:20" ht="35.1" customHeight="1" thickTop="1" thickBot="1" x14ac:dyDescent="0.3">
      <c r="A1" s="12"/>
      <c r="B1" s="20" t="s">
        <v>14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2"/>
      <c r="T1" s="7"/>
    </row>
    <row r="2" spans="1:20" ht="5.0999999999999996" customHeight="1" thickTop="1" thickBot="1" x14ac:dyDescent="0.3">
      <c r="A2" s="12"/>
      <c r="B2" s="23" t="s">
        <v>0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5"/>
      <c r="T2" s="1"/>
    </row>
    <row r="3" spans="1:20" ht="21.95" customHeight="1" thickTop="1" thickBot="1" x14ac:dyDescent="0.3">
      <c r="A3" s="12"/>
      <c r="B3" s="13" t="s">
        <v>15</v>
      </c>
      <c r="C3" s="14"/>
      <c r="D3" s="14"/>
      <c r="E3" s="14"/>
      <c r="F3" s="14"/>
      <c r="G3" s="14"/>
      <c r="H3" s="14"/>
      <c r="I3" s="14"/>
      <c r="J3" s="14"/>
      <c r="K3" s="14"/>
      <c r="L3" s="15"/>
      <c r="M3" s="19"/>
      <c r="N3" s="29" t="s">
        <v>38</v>
      </c>
      <c r="O3" s="30"/>
      <c r="P3" s="30"/>
      <c r="Q3" s="30"/>
      <c r="R3" s="30"/>
      <c r="S3" s="31"/>
      <c r="T3" s="1"/>
    </row>
    <row r="4" spans="1:20" ht="19.5" customHeight="1" thickBot="1" x14ac:dyDescent="0.3">
      <c r="A4" s="12"/>
      <c r="B4" s="16"/>
      <c r="C4" s="17"/>
      <c r="D4" s="17"/>
      <c r="E4" s="17"/>
      <c r="F4" s="17"/>
      <c r="G4" s="17"/>
      <c r="H4" s="17"/>
      <c r="I4" s="17"/>
      <c r="J4" s="17"/>
      <c r="K4" s="17"/>
      <c r="L4" s="18"/>
      <c r="M4" s="19"/>
      <c r="N4" s="26" t="s">
        <v>7</v>
      </c>
      <c r="O4" s="26"/>
      <c r="P4" s="26"/>
      <c r="Q4" s="27">
        <f>MAX(I6:I25)</f>
        <v>409</v>
      </c>
      <c r="R4" s="27"/>
      <c r="S4" s="28"/>
      <c r="T4" s="1"/>
    </row>
    <row r="5" spans="1:20" ht="19.5" customHeight="1" thickTop="1" thickBot="1" x14ac:dyDescent="0.3">
      <c r="A5" s="12"/>
      <c r="B5" s="9" t="s">
        <v>16</v>
      </c>
      <c r="C5" s="10" t="s">
        <v>1</v>
      </c>
      <c r="D5" s="11" t="s">
        <v>2</v>
      </c>
      <c r="E5" s="11" t="s">
        <v>3</v>
      </c>
      <c r="F5" s="11" t="s">
        <v>4</v>
      </c>
      <c r="G5" s="11" t="s">
        <v>5</v>
      </c>
      <c r="H5" s="11" t="s">
        <v>17</v>
      </c>
      <c r="I5" s="11" t="s">
        <v>18</v>
      </c>
      <c r="J5" s="11" t="s">
        <v>19</v>
      </c>
      <c r="K5" s="11" t="s">
        <v>6</v>
      </c>
      <c r="L5" s="11" t="s">
        <v>20</v>
      </c>
      <c r="M5" s="19"/>
      <c r="N5" s="26" t="s">
        <v>8</v>
      </c>
      <c r="O5" s="26"/>
      <c r="P5" s="26"/>
      <c r="Q5" s="32">
        <f>MIN(I6:I25)</f>
        <v>172</v>
      </c>
      <c r="R5" s="32"/>
      <c r="S5" s="33"/>
      <c r="T5" s="1"/>
    </row>
    <row r="6" spans="1:20" ht="20.45" customHeight="1" thickBot="1" x14ac:dyDescent="0.3">
      <c r="A6" s="12"/>
      <c r="B6" s="3">
        <v>1</v>
      </c>
      <c r="C6" s="4" t="s">
        <v>21</v>
      </c>
      <c r="D6" s="2">
        <v>85</v>
      </c>
      <c r="E6" s="2">
        <v>78</v>
      </c>
      <c r="F6" s="2">
        <v>49</v>
      </c>
      <c r="G6" s="2">
        <v>80</v>
      </c>
      <c r="H6" s="2">
        <v>85</v>
      </c>
      <c r="I6" s="2">
        <f>SUM(D6:H6)</f>
        <v>377</v>
      </c>
      <c r="J6" s="8">
        <f>I6/500</f>
        <v>0.754</v>
      </c>
      <c r="K6" s="2" t="str">
        <f>IF(J6&gt;=40%,"Pass","Fail")</f>
        <v>Pass</v>
      </c>
      <c r="L6" s="2" t="str">
        <f>IF(J6&gt;=80%,"A",IF(J6&gt;=60%,"B",IF(J6&gt;=40%,"C","F")))</f>
        <v>B</v>
      </c>
      <c r="M6" s="19"/>
      <c r="N6" s="26" t="s">
        <v>9</v>
      </c>
      <c r="O6" s="26"/>
      <c r="P6" s="26"/>
      <c r="Q6" s="38">
        <f>AVERAGE(J6:J25)</f>
        <v>0.60949999999999993</v>
      </c>
      <c r="R6" s="32"/>
      <c r="S6" s="33"/>
    </row>
    <row r="7" spans="1:20" ht="15.75" thickBot="1" x14ac:dyDescent="0.3">
      <c r="A7" s="12"/>
      <c r="B7" s="3">
        <v>2</v>
      </c>
      <c r="C7" s="4" t="s">
        <v>45</v>
      </c>
      <c r="D7" s="2">
        <v>98</v>
      </c>
      <c r="E7" s="2">
        <v>56</v>
      </c>
      <c r="F7" s="2">
        <v>95</v>
      </c>
      <c r="G7" s="2">
        <v>76</v>
      </c>
      <c r="H7" s="2">
        <v>84</v>
      </c>
      <c r="I7" s="2">
        <f t="shared" ref="I7:I25" si="0">SUM(D7:H7)</f>
        <v>409</v>
      </c>
      <c r="J7" s="8">
        <f t="shared" ref="J7:J25" si="1">I7/500</f>
        <v>0.81799999999999995</v>
      </c>
      <c r="K7" s="2" t="str">
        <f>IF(J7&gt;=40%,"Pass","Fail")</f>
        <v>Pass</v>
      </c>
      <c r="L7" s="2" t="str">
        <f t="shared" ref="L7:L25" si="2">IF(J7&gt;=80%,"A",IF(J7&gt;=60%,"B",IF(J7&gt;=40%,"C","F")))</f>
        <v>A</v>
      </c>
      <c r="M7" s="19"/>
      <c r="N7" s="26" t="s">
        <v>39</v>
      </c>
      <c r="O7" s="26"/>
      <c r="P7" s="26"/>
      <c r="Q7" s="39">
        <f>COUNTA(C6:C25)</f>
        <v>20</v>
      </c>
      <c r="R7" s="39"/>
      <c r="S7" s="40"/>
    </row>
    <row r="8" spans="1:20" ht="18.95" customHeight="1" thickBot="1" x14ac:dyDescent="0.3">
      <c r="A8" s="12"/>
      <c r="B8" s="3">
        <v>3</v>
      </c>
      <c r="C8" s="4" t="s">
        <v>22</v>
      </c>
      <c r="D8" s="2">
        <v>62</v>
      </c>
      <c r="E8" s="2">
        <v>82</v>
      </c>
      <c r="F8" s="2">
        <v>65</v>
      </c>
      <c r="G8" s="2">
        <v>76</v>
      </c>
      <c r="H8" s="2">
        <v>85</v>
      </c>
      <c r="I8" s="2">
        <f t="shared" si="0"/>
        <v>370</v>
      </c>
      <c r="J8" s="8">
        <f t="shared" si="1"/>
        <v>0.74</v>
      </c>
      <c r="K8" s="2" t="str">
        <f t="shared" ref="K8:K25" si="3">IF(J8&gt;=40%,"Pass","Fail")</f>
        <v>Pass</v>
      </c>
      <c r="L8" s="2" t="str">
        <f t="shared" si="2"/>
        <v>B</v>
      </c>
      <c r="M8" s="19"/>
      <c r="N8" s="26" t="s">
        <v>40</v>
      </c>
      <c r="O8" s="26"/>
      <c r="P8" s="26"/>
      <c r="Q8" s="36">
        <f>COUNTIF(K6:K25,"Pass")</f>
        <v>15</v>
      </c>
      <c r="R8" s="36"/>
      <c r="S8" s="37"/>
    </row>
    <row r="9" spans="1:20" ht="19.5" customHeight="1" thickBot="1" x14ac:dyDescent="0.3">
      <c r="A9" s="12"/>
      <c r="B9" s="3">
        <v>4</v>
      </c>
      <c r="C9" s="4" t="s">
        <v>23</v>
      </c>
      <c r="D9" s="2">
        <v>65</v>
      </c>
      <c r="E9" s="2">
        <v>45</v>
      </c>
      <c r="F9" s="2">
        <v>70</v>
      </c>
      <c r="G9" s="2">
        <v>70</v>
      </c>
      <c r="H9" s="2">
        <v>54</v>
      </c>
      <c r="I9" s="2">
        <f t="shared" si="0"/>
        <v>304</v>
      </c>
      <c r="J9" s="8">
        <f t="shared" si="1"/>
        <v>0.60799999999999998</v>
      </c>
      <c r="K9" s="2" t="str">
        <f t="shared" si="3"/>
        <v>Pass</v>
      </c>
      <c r="L9" s="2" t="str">
        <f t="shared" si="2"/>
        <v>B</v>
      </c>
      <c r="M9" s="19"/>
      <c r="N9" s="26" t="s">
        <v>41</v>
      </c>
      <c r="O9" s="26"/>
      <c r="P9" s="26"/>
      <c r="Q9" s="32">
        <f>COUNTIF(K6:K25,"Fail")</f>
        <v>5</v>
      </c>
      <c r="R9" s="32"/>
      <c r="S9" s="33"/>
    </row>
    <row r="10" spans="1:20" ht="18.95" customHeight="1" thickBot="1" x14ac:dyDescent="0.3">
      <c r="A10" s="12"/>
      <c r="B10" s="3">
        <v>5</v>
      </c>
      <c r="C10" s="4" t="s">
        <v>13</v>
      </c>
      <c r="D10" s="2">
        <v>49</v>
      </c>
      <c r="E10" s="2">
        <v>20</v>
      </c>
      <c r="F10" s="2">
        <v>40</v>
      </c>
      <c r="G10" s="2">
        <v>30</v>
      </c>
      <c r="H10" s="2">
        <v>37</v>
      </c>
      <c r="I10" s="2">
        <f t="shared" si="0"/>
        <v>176</v>
      </c>
      <c r="J10" s="8">
        <f t="shared" si="1"/>
        <v>0.35199999999999998</v>
      </c>
      <c r="K10" s="2" t="str">
        <f t="shared" si="3"/>
        <v>Fail</v>
      </c>
      <c r="L10" s="2" t="str">
        <f t="shared" si="2"/>
        <v>F</v>
      </c>
      <c r="M10" s="19"/>
      <c r="N10" s="26" t="s">
        <v>42</v>
      </c>
      <c r="O10" s="26"/>
      <c r="P10" s="26"/>
      <c r="Q10" s="36">
        <f>MAX(D6:H25)</f>
        <v>98</v>
      </c>
      <c r="R10" s="36"/>
      <c r="S10" s="37"/>
    </row>
    <row r="11" spans="1:20" ht="15.75" thickBot="1" x14ac:dyDescent="0.3">
      <c r="A11" s="12"/>
      <c r="B11" s="3">
        <v>6</v>
      </c>
      <c r="C11" s="4" t="s">
        <v>24</v>
      </c>
      <c r="D11" s="2">
        <v>71</v>
      </c>
      <c r="E11" s="2">
        <v>82</v>
      </c>
      <c r="F11" s="2">
        <v>73</v>
      </c>
      <c r="G11" s="2">
        <v>85</v>
      </c>
      <c r="H11" s="2">
        <v>81</v>
      </c>
      <c r="I11" s="2">
        <f t="shared" si="0"/>
        <v>392</v>
      </c>
      <c r="J11" s="8">
        <f t="shared" si="1"/>
        <v>0.78400000000000003</v>
      </c>
      <c r="K11" s="2" t="str">
        <f t="shared" si="3"/>
        <v>Pass</v>
      </c>
      <c r="L11" s="2" t="str">
        <f t="shared" si="2"/>
        <v>B</v>
      </c>
      <c r="M11" s="19"/>
      <c r="N11" s="26" t="s">
        <v>43</v>
      </c>
      <c r="O11" s="26"/>
      <c r="P11" s="26"/>
      <c r="Q11" s="32">
        <f>MIN(D6:H25)</f>
        <v>20</v>
      </c>
      <c r="R11" s="32"/>
      <c r="S11" s="33"/>
    </row>
    <row r="12" spans="1:20" ht="15.75" thickBot="1" x14ac:dyDescent="0.3">
      <c r="A12" s="12"/>
      <c r="B12" s="3">
        <v>7</v>
      </c>
      <c r="C12" s="4" t="s">
        <v>25</v>
      </c>
      <c r="D12" s="2">
        <v>56</v>
      </c>
      <c r="E12" s="2">
        <v>50</v>
      </c>
      <c r="F12" s="2">
        <v>73</v>
      </c>
      <c r="G12" s="2">
        <v>75</v>
      </c>
      <c r="H12" s="2">
        <v>47</v>
      </c>
      <c r="I12" s="2">
        <f>SUM(D12:H12)</f>
        <v>301</v>
      </c>
      <c r="J12" s="8">
        <f t="shared" si="1"/>
        <v>0.60199999999999998</v>
      </c>
      <c r="K12" s="2" t="str">
        <f t="shared" si="3"/>
        <v>Pass</v>
      </c>
      <c r="L12" s="2" t="str">
        <f t="shared" si="2"/>
        <v>B</v>
      </c>
      <c r="M12" s="19"/>
      <c r="N12" s="26" t="s">
        <v>44</v>
      </c>
      <c r="O12" s="26"/>
      <c r="P12" s="26"/>
      <c r="Q12" s="34">
        <f>Q8/Q7</f>
        <v>0.75</v>
      </c>
      <c r="R12" s="34"/>
      <c r="S12" s="35"/>
    </row>
    <row r="13" spans="1:20" ht="18.600000000000001" customHeight="1" thickBot="1" x14ac:dyDescent="0.3">
      <c r="A13" s="12"/>
      <c r="B13" s="3">
        <v>8</v>
      </c>
      <c r="C13" s="4" t="s">
        <v>26</v>
      </c>
      <c r="D13" s="2">
        <v>32</v>
      </c>
      <c r="E13" s="2">
        <v>46</v>
      </c>
      <c r="F13" s="2">
        <v>43</v>
      </c>
      <c r="G13" s="2">
        <v>29</v>
      </c>
      <c r="H13" s="2">
        <v>30</v>
      </c>
      <c r="I13" s="2">
        <f t="shared" si="0"/>
        <v>180</v>
      </c>
      <c r="J13" s="8">
        <f t="shared" si="1"/>
        <v>0.36</v>
      </c>
      <c r="K13" s="2" t="str">
        <f t="shared" si="3"/>
        <v>Fail</v>
      </c>
      <c r="L13" s="2" t="str">
        <f t="shared" si="2"/>
        <v>F</v>
      </c>
      <c r="M13" s="19"/>
      <c r="N13" s="41"/>
      <c r="O13" s="41"/>
      <c r="P13" s="41"/>
      <c r="Q13" s="41"/>
      <c r="R13" s="41"/>
      <c r="S13" s="42"/>
    </row>
    <row r="14" spans="1:20" ht="18" customHeight="1" thickBot="1" x14ac:dyDescent="0.3">
      <c r="A14" s="12"/>
      <c r="B14" s="3">
        <v>9</v>
      </c>
      <c r="C14" s="4" t="s">
        <v>27</v>
      </c>
      <c r="D14" s="2">
        <v>34</v>
      </c>
      <c r="E14" s="2">
        <v>32</v>
      </c>
      <c r="F14" s="2">
        <v>43</v>
      </c>
      <c r="G14" s="2">
        <v>54</v>
      </c>
      <c r="H14" s="2">
        <v>34</v>
      </c>
      <c r="I14" s="2">
        <f t="shared" si="0"/>
        <v>197</v>
      </c>
      <c r="J14" s="8">
        <f t="shared" si="1"/>
        <v>0.39400000000000002</v>
      </c>
      <c r="K14" s="2" t="str">
        <f t="shared" si="3"/>
        <v>Fail</v>
      </c>
      <c r="L14" s="2" t="str">
        <f t="shared" si="2"/>
        <v>F</v>
      </c>
      <c r="M14" s="19"/>
      <c r="N14" s="43" t="s">
        <v>11</v>
      </c>
      <c r="O14" s="44"/>
      <c r="P14" s="44"/>
      <c r="Q14" s="44"/>
      <c r="R14" s="44"/>
      <c r="S14" s="45"/>
    </row>
    <row r="15" spans="1:20" ht="18.600000000000001" customHeight="1" thickBot="1" x14ac:dyDescent="0.3">
      <c r="A15" s="12"/>
      <c r="B15" s="3">
        <v>10</v>
      </c>
      <c r="C15" s="4" t="s">
        <v>28</v>
      </c>
      <c r="D15" s="2">
        <v>71</v>
      </c>
      <c r="E15" s="2">
        <v>74</v>
      </c>
      <c r="F15" s="2">
        <v>40</v>
      </c>
      <c r="G15" s="2">
        <v>50</v>
      </c>
      <c r="H15" s="2">
        <v>35</v>
      </c>
      <c r="I15" s="2">
        <f t="shared" si="0"/>
        <v>270</v>
      </c>
      <c r="J15" s="8">
        <f t="shared" si="1"/>
        <v>0.54</v>
      </c>
      <c r="K15" s="2" t="str">
        <f t="shared" si="3"/>
        <v>Pass</v>
      </c>
      <c r="L15" s="2" t="str">
        <f t="shared" si="2"/>
        <v>C</v>
      </c>
      <c r="M15" s="19"/>
      <c r="N15" s="46" t="str">
        <f>INDEX(C6:C25,MATCH(MAX(I6:I25),I6:I25,0))</f>
        <v>Viru</v>
      </c>
      <c r="O15" s="47"/>
      <c r="P15" s="47"/>
      <c r="Q15" s="47"/>
      <c r="R15" s="47"/>
      <c r="S15" s="48"/>
    </row>
    <row r="16" spans="1:20" ht="18.95" customHeight="1" thickBot="1" x14ac:dyDescent="0.3">
      <c r="A16" s="12"/>
      <c r="B16" s="3">
        <v>11</v>
      </c>
      <c r="C16" s="4" t="s">
        <v>29</v>
      </c>
      <c r="D16" s="2">
        <v>59</v>
      </c>
      <c r="E16" s="2">
        <v>54</v>
      </c>
      <c r="F16" s="2">
        <v>42</v>
      </c>
      <c r="G16" s="2">
        <v>97</v>
      </c>
      <c r="H16" s="2">
        <v>75</v>
      </c>
      <c r="I16" s="2">
        <f t="shared" si="0"/>
        <v>327</v>
      </c>
      <c r="J16" s="8">
        <f t="shared" si="1"/>
        <v>0.65400000000000003</v>
      </c>
      <c r="K16" s="2" t="str">
        <f t="shared" si="3"/>
        <v>Pass</v>
      </c>
      <c r="L16" s="2" t="str">
        <f t="shared" si="2"/>
        <v>B</v>
      </c>
      <c r="M16" s="19"/>
      <c r="N16" s="49">
        <f>MAX(J6:J25)</f>
        <v>0.81799999999999995</v>
      </c>
      <c r="O16" s="50"/>
      <c r="P16" s="50"/>
      <c r="Q16" s="50"/>
      <c r="R16" s="50"/>
      <c r="S16" s="51"/>
    </row>
    <row r="17" spans="1:19" ht="13.5" customHeight="1" thickBot="1" x14ac:dyDescent="0.3">
      <c r="A17" s="12"/>
      <c r="B17" s="3">
        <v>12</v>
      </c>
      <c r="C17" s="4" t="s">
        <v>21</v>
      </c>
      <c r="D17" s="2">
        <v>54</v>
      </c>
      <c r="E17" s="2">
        <v>38</v>
      </c>
      <c r="F17" s="2">
        <v>89</v>
      </c>
      <c r="G17" s="2">
        <v>55</v>
      </c>
      <c r="H17" s="2">
        <v>71</v>
      </c>
      <c r="I17" s="2">
        <f t="shared" si="0"/>
        <v>307</v>
      </c>
      <c r="J17" s="8">
        <f t="shared" si="1"/>
        <v>0.61399999999999999</v>
      </c>
      <c r="K17" s="2" t="str">
        <f t="shared" si="3"/>
        <v>Pass</v>
      </c>
      <c r="L17" s="2" t="str">
        <f t="shared" si="2"/>
        <v>B</v>
      </c>
      <c r="M17" s="19"/>
      <c r="N17" s="52"/>
      <c r="O17" s="52"/>
      <c r="P17" s="52"/>
      <c r="Q17" s="52"/>
      <c r="R17" s="52"/>
      <c r="S17" s="53"/>
    </row>
    <row r="18" spans="1:19" ht="17.45" customHeight="1" thickBot="1" x14ac:dyDescent="0.3">
      <c r="A18" s="12"/>
      <c r="B18" s="3">
        <v>13</v>
      </c>
      <c r="C18" s="4" t="s">
        <v>30</v>
      </c>
      <c r="D18" s="2">
        <v>92</v>
      </c>
      <c r="E18" s="2">
        <v>69</v>
      </c>
      <c r="F18" s="2">
        <v>52</v>
      </c>
      <c r="G18" s="2">
        <v>33</v>
      </c>
      <c r="H18" s="2">
        <v>46</v>
      </c>
      <c r="I18" s="2">
        <f t="shared" si="0"/>
        <v>292</v>
      </c>
      <c r="J18" s="8">
        <f t="shared" si="1"/>
        <v>0.58399999999999996</v>
      </c>
      <c r="K18" s="2" t="str">
        <f t="shared" si="3"/>
        <v>Pass</v>
      </c>
      <c r="L18" s="2" t="str">
        <f t="shared" si="2"/>
        <v>C</v>
      </c>
      <c r="M18" s="19"/>
      <c r="N18" s="43" t="s">
        <v>10</v>
      </c>
      <c r="O18" s="44"/>
      <c r="P18" s="44"/>
      <c r="Q18" s="44"/>
      <c r="R18" s="44"/>
      <c r="S18" s="45"/>
    </row>
    <row r="19" spans="1:19" ht="15.75" thickBot="1" x14ac:dyDescent="0.3">
      <c r="A19" s="12"/>
      <c r="B19" s="3">
        <v>14</v>
      </c>
      <c r="C19" s="4" t="s">
        <v>31</v>
      </c>
      <c r="D19" s="2">
        <v>36</v>
      </c>
      <c r="E19" s="2">
        <v>40</v>
      </c>
      <c r="F19" s="2">
        <v>43</v>
      </c>
      <c r="G19" s="2">
        <v>32</v>
      </c>
      <c r="H19" s="2">
        <v>21</v>
      </c>
      <c r="I19" s="2">
        <f t="shared" si="0"/>
        <v>172</v>
      </c>
      <c r="J19" s="8">
        <f t="shared" si="1"/>
        <v>0.34399999999999997</v>
      </c>
      <c r="K19" s="2" t="str">
        <f t="shared" si="3"/>
        <v>Fail</v>
      </c>
      <c r="L19" s="2" t="str">
        <f t="shared" si="2"/>
        <v>F</v>
      </c>
      <c r="M19" s="19"/>
      <c r="N19" s="54"/>
      <c r="O19" s="55"/>
      <c r="P19" s="55"/>
      <c r="Q19" s="55"/>
      <c r="R19" s="55"/>
      <c r="S19" s="56"/>
    </row>
    <row r="20" spans="1:19" ht="15.75" thickBot="1" x14ac:dyDescent="0.3">
      <c r="A20" s="12"/>
      <c r="B20" s="3">
        <v>15</v>
      </c>
      <c r="C20" s="4" t="s">
        <v>32</v>
      </c>
      <c r="D20" s="2">
        <v>60</v>
      </c>
      <c r="E20" s="2">
        <v>67</v>
      </c>
      <c r="F20" s="2">
        <v>58</v>
      </c>
      <c r="G20" s="2">
        <v>72</v>
      </c>
      <c r="H20" s="2">
        <v>64</v>
      </c>
      <c r="I20" s="2">
        <f t="shared" si="0"/>
        <v>321</v>
      </c>
      <c r="J20" s="8">
        <f t="shared" si="1"/>
        <v>0.64200000000000002</v>
      </c>
      <c r="K20" s="2" t="str">
        <f t="shared" si="3"/>
        <v>Pass</v>
      </c>
      <c r="L20" s="2" t="str">
        <f t="shared" si="2"/>
        <v>B</v>
      </c>
      <c r="M20" s="19"/>
      <c r="N20" s="57"/>
      <c r="O20" s="58"/>
      <c r="P20" s="58"/>
      <c r="Q20" s="58"/>
      <c r="R20" s="58"/>
      <c r="S20" s="59"/>
    </row>
    <row r="21" spans="1:19" ht="15.75" thickBot="1" x14ac:dyDescent="0.3">
      <c r="A21" s="12"/>
      <c r="B21" s="3">
        <v>16</v>
      </c>
      <c r="C21" s="4" t="s">
        <v>33</v>
      </c>
      <c r="D21" s="2">
        <v>76</v>
      </c>
      <c r="E21" s="2">
        <v>63</v>
      </c>
      <c r="F21" s="2">
        <v>84</v>
      </c>
      <c r="G21" s="2">
        <v>75</v>
      </c>
      <c r="H21" s="2">
        <v>63</v>
      </c>
      <c r="I21" s="2">
        <f t="shared" si="0"/>
        <v>361</v>
      </c>
      <c r="J21" s="8">
        <f t="shared" si="1"/>
        <v>0.72199999999999998</v>
      </c>
      <c r="K21" s="2" t="str">
        <f t="shared" si="3"/>
        <v>Pass</v>
      </c>
      <c r="L21" s="2" t="str">
        <f t="shared" si="2"/>
        <v>B</v>
      </c>
      <c r="M21" s="19"/>
      <c r="N21" s="57"/>
      <c r="O21" s="58"/>
      <c r="P21" s="58"/>
      <c r="Q21" s="58"/>
      <c r="R21" s="58"/>
      <c r="S21" s="59"/>
    </row>
    <row r="22" spans="1:19" ht="15.75" thickBot="1" x14ac:dyDescent="0.3">
      <c r="A22" s="12"/>
      <c r="B22" s="3">
        <v>17</v>
      </c>
      <c r="C22" s="4" t="s">
        <v>34</v>
      </c>
      <c r="D22" s="2">
        <v>86</v>
      </c>
      <c r="E22" s="2">
        <v>50</v>
      </c>
      <c r="F22" s="2">
        <v>65</v>
      </c>
      <c r="G22" s="2">
        <v>81</v>
      </c>
      <c r="H22" s="2">
        <v>93</v>
      </c>
      <c r="I22" s="2">
        <f t="shared" si="0"/>
        <v>375</v>
      </c>
      <c r="J22" s="8">
        <f t="shared" si="1"/>
        <v>0.75</v>
      </c>
      <c r="K22" s="2" t="str">
        <f t="shared" si="3"/>
        <v>Pass</v>
      </c>
      <c r="L22" s="2" t="str">
        <f t="shared" si="2"/>
        <v>B</v>
      </c>
      <c r="M22" s="19"/>
      <c r="N22" s="57"/>
      <c r="O22" s="58"/>
      <c r="P22" s="58"/>
      <c r="Q22" s="58"/>
      <c r="R22" s="58"/>
      <c r="S22" s="59"/>
    </row>
    <row r="23" spans="1:19" ht="15.75" thickBot="1" x14ac:dyDescent="0.3">
      <c r="A23" s="12"/>
      <c r="B23" s="3">
        <v>18</v>
      </c>
      <c r="C23" s="4" t="s">
        <v>35</v>
      </c>
      <c r="D23" s="2">
        <v>47</v>
      </c>
      <c r="E23" s="2">
        <v>87</v>
      </c>
      <c r="F23" s="2">
        <v>76</v>
      </c>
      <c r="G23" s="2">
        <v>63</v>
      </c>
      <c r="H23" s="2">
        <v>93</v>
      </c>
      <c r="I23" s="2">
        <f t="shared" si="0"/>
        <v>366</v>
      </c>
      <c r="J23" s="8">
        <f t="shared" si="1"/>
        <v>0.73199999999999998</v>
      </c>
      <c r="K23" s="2" t="str">
        <f t="shared" si="3"/>
        <v>Pass</v>
      </c>
      <c r="L23" s="2" t="str">
        <f t="shared" si="2"/>
        <v>B</v>
      </c>
      <c r="M23" s="19"/>
      <c r="N23" s="57"/>
      <c r="O23" s="58"/>
      <c r="P23" s="58"/>
      <c r="Q23" s="58"/>
      <c r="R23" s="58"/>
      <c r="S23" s="59"/>
    </row>
    <row r="24" spans="1:19" ht="15.75" thickBot="1" x14ac:dyDescent="0.3">
      <c r="A24" s="12"/>
      <c r="B24" s="5">
        <v>19</v>
      </c>
      <c r="C24" s="6" t="s">
        <v>36</v>
      </c>
      <c r="D24" s="2">
        <v>30</v>
      </c>
      <c r="E24" s="2">
        <v>43</v>
      </c>
      <c r="F24" s="2">
        <v>45</v>
      </c>
      <c r="G24" s="2">
        <v>32</v>
      </c>
      <c r="H24" s="2">
        <v>45</v>
      </c>
      <c r="I24" s="2">
        <f t="shared" si="0"/>
        <v>195</v>
      </c>
      <c r="J24" s="8">
        <f t="shared" si="1"/>
        <v>0.39</v>
      </c>
      <c r="K24" s="2" t="str">
        <f t="shared" si="3"/>
        <v>Fail</v>
      </c>
      <c r="L24" s="2" t="str">
        <f t="shared" si="2"/>
        <v>F</v>
      </c>
      <c r="M24" s="19"/>
      <c r="N24" s="57"/>
      <c r="O24" s="58"/>
      <c r="P24" s="58"/>
      <c r="Q24" s="58"/>
      <c r="R24" s="58"/>
      <c r="S24" s="59"/>
    </row>
    <row r="25" spans="1:19" ht="15.75" thickBot="1" x14ac:dyDescent="0.3">
      <c r="A25" s="12"/>
      <c r="B25" s="2">
        <v>20</v>
      </c>
      <c r="C25" s="2" t="s">
        <v>37</v>
      </c>
      <c r="D25" s="2">
        <v>89</v>
      </c>
      <c r="E25" s="2">
        <v>79</v>
      </c>
      <c r="F25" s="2">
        <v>97</v>
      </c>
      <c r="G25" s="2">
        <v>71</v>
      </c>
      <c r="H25" s="2">
        <v>67</v>
      </c>
      <c r="I25" s="2">
        <f t="shared" si="0"/>
        <v>403</v>
      </c>
      <c r="J25" s="8">
        <f t="shared" si="1"/>
        <v>0.80600000000000005</v>
      </c>
      <c r="K25" s="2" t="str">
        <f t="shared" si="3"/>
        <v>Pass</v>
      </c>
      <c r="L25" s="2" t="str">
        <f t="shared" si="2"/>
        <v>A</v>
      </c>
      <c r="M25" s="19"/>
      <c r="N25" s="60"/>
      <c r="O25" s="61"/>
      <c r="P25" s="61"/>
      <c r="Q25" s="61"/>
      <c r="R25" s="61"/>
      <c r="S25" s="62"/>
    </row>
    <row r="26" spans="1:19" x14ac:dyDescent="0.25">
      <c r="A26" s="12"/>
      <c r="B26" s="65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7"/>
    </row>
    <row r="27" spans="1:19" x14ac:dyDescent="0.25">
      <c r="A27" s="12"/>
      <c r="B27" s="63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64"/>
    </row>
    <row r="28" spans="1:19" x14ac:dyDescent="0.25">
      <c r="A28" s="12"/>
      <c r="B28" s="63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64"/>
    </row>
    <row r="29" spans="1:19" x14ac:dyDescent="0.25">
      <c r="A29" s="12"/>
      <c r="B29" s="63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64"/>
    </row>
    <row r="30" spans="1:19" x14ac:dyDescent="0.25">
      <c r="A30" s="12"/>
      <c r="B30" s="63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64"/>
    </row>
    <row r="31" spans="1:19" x14ac:dyDescent="0.25">
      <c r="B31" s="6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64"/>
    </row>
    <row r="32" spans="1:19" x14ac:dyDescent="0.25">
      <c r="B32" s="63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64"/>
    </row>
    <row r="33" spans="2:19" x14ac:dyDescent="0.25">
      <c r="B33" s="63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64"/>
    </row>
    <row r="34" spans="2:19" ht="42" customHeight="1" x14ac:dyDescent="0.25">
      <c r="B34" s="63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64"/>
    </row>
    <row r="35" spans="2:19" ht="23.1" customHeight="1" thickBot="1" x14ac:dyDescent="0.3">
      <c r="B35" s="68" t="s">
        <v>12</v>
      </c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70"/>
    </row>
    <row r="36" spans="2:19" ht="15.75" thickTop="1" x14ac:dyDescent="0.25"/>
  </sheetData>
  <mergeCells count="34">
    <mergeCell ref="N18:S18"/>
    <mergeCell ref="N19:S25"/>
    <mergeCell ref="B27:S34"/>
    <mergeCell ref="B26:S26"/>
    <mergeCell ref="B35:S35"/>
    <mergeCell ref="N13:S13"/>
    <mergeCell ref="N14:S14"/>
    <mergeCell ref="N15:S15"/>
    <mergeCell ref="N16:S16"/>
    <mergeCell ref="N17:S17"/>
    <mergeCell ref="Q9:S9"/>
    <mergeCell ref="N10:P10"/>
    <mergeCell ref="Q10:S10"/>
    <mergeCell ref="Q5:S5"/>
    <mergeCell ref="N6:P6"/>
    <mergeCell ref="Q6:S6"/>
    <mergeCell ref="N7:P7"/>
    <mergeCell ref="Q7:S7"/>
    <mergeCell ref="A1:A30"/>
    <mergeCell ref="B3:L4"/>
    <mergeCell ref="M3:M25"/>
    <mergeCell ref="B1:S1"/>
    <mergeCell ref="B2:S2"/>
    <mergeCell ref="N4:P4"/>
    <mergeCell ref="Q4:S4"/>
    <mergeCell ref="N5:P5"/>
    <mergeCell ref="N3:S3"/>
    <mergeCell ref="N11:P11"/>
    <mergeCell ref="Q11:S11"/>
    <mergeCell ref="N12:P12"/>
    <mergeCell ref="Q12:S12"/>
    <mergeCell ref="N8:P8"/>
    <mergeCell ref="Q8:S8"/>
    <mergeCell ref="N9:P9"/>
  </mergeCells>
  <conditionalFormatting sqref="D6:H25">
    <cfRule type="top10" dxfId="7" priority="1" bottom="1" rank="5"/>
    <cfRule type="top10" dxfId="6" priority="2" rank="5"/>
  </conditionalFormatting>
  <conditionalFormatting sqref="I6:I25">
    <cfRule type="top10" dxfId="5" priority="3" rank="10"/>
    <cfRule type="top10" dxfId="4" priority="4" rank="10"/>
    <cfRule type="top10" dxfId="3" priority="5" rank="5"/>
  </conditionalFormatting>
  <conditionalFormatting sqref="K6">
    <cfRule type="cellIs" dxfId="2" priority="8" operator="greaterThan">
      <formula>"Pass"</formula>
    </cfRule>
  </conditionalFormatting>
  <conditionalFormatting sqref="K6:K25">
    <cfRule type="cellIs" dxfId="1" priority="6" operator="lessThan">
      <formula>"P"</formula>
    </cfRule>
    <cfRule type="cellIs" dxfId="0" priority="7" operator="greaterThan">
      <formula>"P"</formula>
    </cfRule>
  </conditionalFormatting>
  <pageMargins left="0.7" right="0.7" top="0.75" bottom="0.75" header="0.3" footer="0.3"/>
  <pageSetup paperSize="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Result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Rajeev Kumar Roy</dc:creator>
  <cp:lastModifiedBy>Sunny Das</cp:lastModifiedBy>
  <cp:lastPrinted>2026-05-09T12:22:41Z</cp:lastPrinted>
  <dcterms:created xsi:type="dcterms:W3CDTF">2026-04-23T13:08:51Z</dcterms:created>
  <dcterms:modified xsi:type="dcterms:W3CDTF">2026-05-12T06:07:21Z</dcterms:modified>
</cp:coreProperties>
</file>